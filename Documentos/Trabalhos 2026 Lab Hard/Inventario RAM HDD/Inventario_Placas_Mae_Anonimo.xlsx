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11_63799B3C9F48F6DCF5B63F60A231213F164FF6DA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ventário Geral" sheetId="1" r:id="rId1"/>
    <sheet name="Manutenções" sheetId="2" r:id="rId2"/>
    <sheet name="Empréstimos" sheetId="3" r:id="rId3"/>
    <sheet name="Estatísticas" sheetId="4" r:id="rId4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4" l="1"/>
  <c r="B4" i="4"/>
  <c r="B3" i="4"/>
  <c r="B2" i="4"/>
</calcChain>
</file>

<file path=xl/sharedStrings.xml><?xml version="1.0" encoding="utf-8"?>
<sst xmlns="http://schemas.openxmlformats.org/spreadsheetml/2006/main" count="110" uniqueCount="85">
  <si>
    <t>ID Patrimônio</t>
  </si>
  <si>
    <t>Número de Série</t>
  </si>
  <si>
    <t>Marca</t>
  </si>
  <si>
    <t>Modelo</t>
  </si>
  <si>
    <t>Chipset</t>
  </si>
  <si>
    <t>Socket</t>
  </si>
  <si>
    <t>Ano de Lançamento</t>
  </si>
  <si>
    <t>Formato</t>
  </si>
  <si>
    <t>Processador Compatível</t>
  </si>
  <si>
    <t>Memória RAM Compatível</t>
  </si>
  <si>
    <t>Qtd. Slots RAM</t>
  </si>
  <si>
    <t>Estado</t>
  </si>
  <si>
    <t>Localização</t>
  </si>
  <si>
    <t>Responsável</t>
  </si>
  <si>
    <t>Data de Entrada</t>
  </si>
  <si>
    <t>Modelo de BIOS</t>
  </si>
  <si>
    <t>Qtd. Slots PCIe (1x)</t>
  </si>
  <si>
    <t>Qtd. Slots PCIe (16x)</t>
  </si>
  <si>
    <t>Qtd. Slots PCIe (4x)</t>
  </si>
  <si>
    <t>Quantidade de Fases</t>
  </si>
  <si>
    <t>VRM com Dissipador</t>
  </si>
  <si>
    <t>Qtd. Sockets M.2</t>
  </si>
  <si>
    <t>MB-001</t>
  </si>
  <si>
    <t>002713AE069F</t>
  </si>
  <si>
    <t>Lenovo IH57M</t>
  </si>
  <si>
    <t>IH57M Rev 1.0</t>
  </si>
  <si>
    <t>Intel H57 Express</t>
  </si>
  <si>
    <t>LGA 1156</t>
  </si>
  <si>
    <t>Micro-ATX</t>
  </si>
  <si>
    <t>Intel Core i3 5xx</t>
  </si>
  <si>
    <t>DDR3</t>
  </si>
  <si>
    <t>Em Teste</t>
  </si>
  <si>
    <t>Bancada 1</t>
  </si>
  <si>
    <t>ANÔNIMO</t>
  </si>
  <si>
    <t>Desconhecida</t>
  </si>
  <si>
    <t>Lenovo BIOS</t>
  </si>
  <si>
    <t>4+1 fases</t>
  </si>
  <si>
    <t xml:space="preserve">Não possui </t>
  </si>
  <si>
    <t xml:space="preserve">Nenhum </t>
  </si>
  <si>
    <t>MB-002</t>
  </si>
  <si>
    <t>BCP-H81M8L-S 2017020001</t>
  </si>
  <si>
    <t>OEM chinesa</t>
  </si>
  <si>
    <t>LGA1151</t>
  </si>
  <si>
    <t xml:space="preserve">Não visível </t>
  </si>
  <si>
    <t>2016-2019</t>
  </si>
  <si>
    <t>micro-ATX</t>
  </si>
  <si>
    <t>Intel Core i3</t>
  </si>
  <si>
    <t>DDR4</t>
  </si>
  <si>
    <t>Bancada 2</t>
  </si>
  <si>
    <t xml:space="preserve">ANÔNIMO </t>
  </si>
  <si>
    <t>UEFI BIOS</t>
  </si>
  <si>
    <t>4+2 fases</t>
  </si>
  <si>
    <t>Não possui</t>
  </si>
  <si>
    <t>MB-003</t>
  </si>
  <si>
    <t xml:space="preserve">não visível </t>
  </si>
  <si>
    <t>ASUS</t>
  </si>
  <si>
    <t>A7N8X-VM</t>
  </si>
  <si>
    <t>NVIDIA nForce2</t>
  </si>
  <si>
    <t>Socket A(462)</t>
  </si>
  <si>
    <t xml:space="preserve">Intel Core 8° geração </t>
  </si>
  <si>
    <t>Bancada 3</t>
  </si>
  <si>
    <t>Award BIOS</t>
  </si>
  <si>
    <t>2+1 fases</t>
  </si>
  <si>
    <t>Nenhum</t>
  </si>
  <si>
    <t>MB-004</t>
  </si>
  <si>
    <t>AMD Atholon XP</t>
  </si>
  <si>
    <t>Bancada 4</t>
  </si>
  <si>
    <t xml:space="preserve">Award BIOS </t>
  </si>
  <si>
    <t>Data</t>
  </si>
  <si>
    <t>Problema Encontrado</t>
  </si>
  <si>
    <t>Solução Aplicada</t>
  </si>
  <si>
    <t>Peças Trocadas</t>
  </si>
  <si>
    <t>Técnico Responsável</t>
  </si>
  <si>
    <t>Custo (R$)</t>
  </si>
  <si>
    <t>Solicitante</t>
  </si>
  <si>
    <t>Data Saída</t>
  </si>
  <si>
    <t>Data Prevista de Retorno</t>
  </si>
  <si>
    <t>Data de Retorno</t>
  </si>
  <si>
    <t>Observações</t>
  </si>
  <si>
    <t>Indicador</t>
  </si>
  <si>
    <t>Valor</t>
  </si>
  <si>
    <t>Total de placas cadastradas</t>
  </si>
  <si>
    <t>Funcionando</t>
  </si>
  <si>
    <t>Em manutenção</t>
  </si>
  <si>
    <t>Emprestadas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</si>
</sst>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Arial"/>
      <scheme val="minor"/>
    </font>
    <font>
      <b/>
      <sz val="11"/>
      <color theme="1"/>
      <name val="Arial"/>
    </font>
    <font>
      <sz val="11"/>
      <color theme="1"/>
      <name val="Arial"/>
    </font>
    <font>
      <sz val="11"/>
      <color theme="1"/>
      <name val="Arial"/>
      <scheme val="minor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tabSelected="1" workbookViewId="0"/>
  </sheetViews>
  <sheetFormatPr defaultColWidth="12.625" defaultRowHeight="15" customHeight="1"/>
  <cols>
    <col min="1" max="22" width="22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4.25" customHeight="1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>
        <v>2009</v>
      </c>
      <c r="H2" s="2" t="s">
        <v>28</v>
      </c>
      <c r="I2" s="2" t="s">
        <v>29</v>
      </c>
      <c r="J2" s="2" t="s">
        <v>30</v>
      </c>
      <c r="K2" s="2">
        <v>4</v>
      </c>
      <c r="L2" s="2" t="s">
        <v>31</v>
      </c>
      <c r="M2" s="2" t="s">
        <v>32</v>
      </c>
      <c r="N2" s="2" t="s">
        <v>33</v>
      </c>
      <c r="O2" s="2" t="s">
        <v>34</v>
      </c>
      <c r="P2" s="3" t="s">
        <v>35</v>
      </c>
      <c r="Q2" s="3">
        <v>2</v>
      </c>
      <c r="R2" s="3">
        <v>1</v>
      </c>
      <c r="S2" s="4">
        <v>0</v>
      </c>
      <c r="T2" s="4" t="s">
        <v>36</v>
      </c>
      <c r="U2" s="4" t="s">
        <v>37</v>
      </c>
      <c r="V2" s="4" t="s">
        <v>38</v>
      </c>
    </row>
    <row r="3" spans="1:22" ht="14.25" customHeight="1">
      <c r="A3" s="2" t="s">
        <v>39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42</v>
      </c>
      <c r="G3" s="2" t="s">
        <v>44</v>
      </c>
      <c r="H3" s="2" t="s">
        <v>45</v>
      </c>
      <c r="I3" s="2" t="s">
        <v>46</v>
      </c>
      <c r="J3" s="2" t="s">
        <v>47</v>
      </c>
      <c r="K3" s="2">
        <v>2</v>
      </c>
      <c r="L3" s="5" t="s">
        <v>31</v>
      </c>
      <c r="M3" s="2" t="s">
        <v>48</v>
      </c>
      <c r="N3" s="2" t="s">
        <v>49</v>
      </c>
      <c r="O3" s="2" t="s">
        <v>34</v>
      </c>
      <c r="P3" s="4" t="s">
        <v>50</v>
      </c>
      <c r="Q3" s="4">
        <v>1</v>
      </c>
      <c r="R3" s="4">
        <v>1</v>
      </c>
      <c r="S3" s="4">
        <v>0</v>
      </c>
      <c r="T3" s="4" t="s">
        <v>51</v>
      </c>
      <c r="U3" s="4" t="s">
        <v>52</v>
      </c>
      <c r="V3" s="4" t="s">
        <v>43</v>
      </c>
    </row>
    <row r="4" spans="1:22" ht="14.25" customHeight="1">
      <c r="A4" s="2" t="s">
        <v>53</v>
      </c>
      <c r="B4" s="2" t="s">
        <v>54</v>
      </c>
      <c r="C4" s="2" t="s">
        <v>55</v>
      </c>
      <c r="D4" s="2" t="s">
        <v>56</v>
      </c>
      <c r="E4" s="2" t="s">
        <v>57</v>
      </c>
      <c r="F4" s="2" t="s">
        <v>58</v>
      </c>
      <c r="G4" s="2">
        <v>2003</v>
      </c>
      <c r="H4" s="2" t="s">
        <v>45</v>
      </c>
      <c r="I4" s="2" t="s">
        <v>59</v>
      </c>
      <c r="J4" s="2" t="s">
        <v>30</v>
      </c>
      <c r="K4" s="2">
        <v>2</v>
      </c>
      <c r="L4" s="2" t="s">
        <v>31</v>
      </c>
      <c r="M4" s="2" t="s">
        <v>60</v>
      </c>
      <c r="N4" s="2" t="s">
        <v>49</v>
      </c>
      <c r="O4" s="2" t="s">
        <v>34</v>
      </c>
      <c r="P4" s="4" t="s">
        <v>61</v>
      </c>
      <c r="Q4" s="4">
        <v>0</v>
      </c>
      <c r="R4" s="4">
        <v>0</v>
      </c>
      <c r="S4" s="4">
        <v>0</v>
      </c>
      <c r="T4" s="4" t="s">
        <v>62</v>
      </c>
      <c r="U4" s="4" t="s">
        <v>52</v>
      </c>
      <c r="V4" s="4" t="s">
        <v>63</v>
      </c>
    </row>
    <row r="5" spans="1:22" ht="14.25" customHeight="1">
      <c r="A5" s="2" t="s">
        <v>64</v>
      </c>
      <c r="B5" s="2" t="s">
        <v>54</v>
      </c>
      <c r="C5" s="2" t="s">
        <v>55</v>
      </c>
      <c r="D5" s="2" t="s">
        <v>56</v>
      </c>
      <c r="E5" s="2" t="s">
        <v>57</v>
      </c>
      <c r="F5" s="2" t="s">
        <v>58</v>
      </c>
      <c r="G5" s="2">
        <v>2003</v>
      </c>
      <c r="H5" s="2" t="s">
        <v>45</v>
      </c>
      <c r="I5" s="2" t="s">
        <v>65</v>
      </c>
      <c r="J5" s="2" t="s">
        <v>30</v>
      </c>
      <c r="K5" s="2">
        <v>2</v>
      </c>
      <c r="L5" s="2" t="s">
        <v>31</v>
      </c>
      <c r="M5" s="2" t="s">
        <v>66</v>
      </c>
      <c r="N5" s="2" t="s">
        <v>49</v>
      </c>
      <c r="O5" s="2" t="s">
        <v>34</v>
      </c>
      <c r="P5" s="4" t="s">
        <v>67</v>
      </c>
      <c r="Q5" s="4">
        <v>0</v>
      </c>
      <c r="R5" s="4">
        <v>0</v>
      </c>
      <c r="S5" s="4">
        <v>0</v>
      </c>
      <c r="T5" s="4" t="s">
        <v>62</v>
      </c>
      <c r="U5" s="4" t="s">
        <v>52</v>
      </c>
      <c r="V5" s="4" t="s">
        <v>43</v>
      </c>
    </row>
    <row r="6" spans="1:22" ht="1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22">
      <c r="L7" s="4"/>
    </row>
    <row r="8" spans="1:22">
      <c r="L8" s="4"/>
    </row>
    <row r="9" spans="1:22">
      <c r="L9" s="4"/>
    </row>
    <row r="10" spans="1:22">
      <c r="L10" s="4"/>
    </row>
    <row r="11" spans="1:22">
      <c r="L11" s="4"/>
    </row>
    <row r="12" spans="1:22">
      <c r="L12" s="4"/>
    </row>
    <row r="13" spans="1:22">
      <c r="L13" s="4"/>
    </row>
    <row r="14" spans="1:22">
      <c r="L14" s="4"/>
    </row>
    <row r="15" spans="1:22">
      <c r="L15" s="4"/>
    </row>
    <row r="16" spans="1:22">
      <c r="L16" s="4"/>
    </row>
    <row r="17" spans="12:12">
      <c r="L17" s="4"/>
    </row>
    <row r="18" spans="12:12">
      <c r="L18" s="4"/>
    </row>
    <row r="19" spans="12:12">
      <c r="L19" s="4"/>
    </row>
    <row r="20" spans="12:12">
      <c r="L20" s="4"/>
    </row>
    <row r="21" spans="12:12" ht="15.75" customHeight="1">
      <c r="L21" s="4"/>
    </row>
    <row r="22" spans="12:12" ht="15.75" customHeight="1">
      <c r="L22" s="4"/>
    </row>
    <row r="23" spans="12:12" ht="15.75" customHeight="1">
      <c r="L23" s="4"/>
    </row>
    <row r="24" spans="12:12" ht="15.75" customHeight="1">
      <c r="L24" s="4"/>
    </row>
    <row r="25" spans="12:12" ht="15.75" customHeight="1">
      <c r="L25" s="4"/>
    </row>
    <row r="26" spans="12:12" ht="15.75" customHeight="1">
      <c r="L26" s="4"/>
    </row>
    <row r="27" spans="12:12" ht="15.75" customHeight="1">
      <c r="L27" s="4"/>
    </row>
    <row r="28" spans="12:12" ht="15.75" customHeight="1">
      <c r="L28" s="4"/>
    </row>
    <row r="29" spans="12:12" ht="15.75" customHeight="1">
      <c r="L29" s="4"/>
    </row>
    <row r="30" spans="12:12" ht="15.75" customHeight="1">
      <c r="L30" s="4"/>
    </row>
    <row r="31" spans="12:12" ht="15.75" customHeight="1">
      <c r="L31" s="4"/>
    </row>
    <row r="32" spans="12:12" ht="15.75" customHeight="1">
      <c r="L32" s="4"/>
    </row>
    <row r="33" spans="12:12" ht="15.75" customHeight="1">
      <c r="L33" s="4"/>
    </row>
    <row r="34" spans="12:12" ht="15.75" customHeight="1">
      <c r="L34" s="4"/>
    </row>
    <row r="35" spans="12:12" ht="15.75" customHeight="1">
      <c r="L35" s="4"/>
    </row>
    <row r="36" spans="12:12" ht="15.75" customHeight="1">
      <c r="L36" s="4"/>
    </row>
    <row r="37" spans="12:12" ht="15.75" customHeight="1">
      <c r="L37" s="4"/>
    </row>
    <row r="38" spans="12:12" ht="15.75" customHeight="1">
      <c r="L38" s="4"/>
    </row>
    <row r="39" spans="12:12" ht="15.75" customHeight="1">
      <c r="L39" s="4"/>
    </row>
    <row r="40" spans="12:12" ht="15.75" customHeight="1">
      <c r="L40" s="4"/>
    </row>
    <row r="41" spans="12:12" ht="15.75" customHeight="1">
      <c r="L41" s="4"/>
    </row>
    <row r="42" spans="12:12" ht="15.75" customHeight="1">
      <c r="L42" s="4"/>
    </row>
    <row r="43" spans="12:12" ht="15.75" customHeight="1">
      <c r="L43" s="4"/>
    </row>
    <row r="44" spans="12:12" ht="15.75" customHeight="1">
      <c r="L44" s="4"/>
    </row>
    <row r="45" spans="12:12" ht="15.75" customHeight="1">
      <c r="L45" s="4"/>
    </row>
    <row r="46" spans="12:12" ht="15.75" customHeight="1">
      <c r="L46" s="4"/>
    </row>
    <row r="47" spans="12:12" ht="15.75" customHeight="1">
      <c r="L47" s="4"/>
    </row>
    <row r="48" spans="12:12" ht="15.75" customHeight="1">
      <c r="L48" s="4"/>
    </row>
    <row r="49" spans="12:12" ht="15.75" customHeight="1">
      <c r="L49" s="4"/>
    </row>
    <row r="50" spans="12:12" ht="15.75" customHeight="1">
      <c r="L50" s="4"/>
    </row>
    <row r="51" spans="12:12" ht="15.75" customHeight="1">
      <c r="L51" s="4"/>
    </row>
    <row r="52" spans="12:12" ht="15.75" customHeight="1">
      <c r="L52" s="4"/>
    </row>
    <row r="53" spans="12:12" ht="15.75" customHeight="1">
      <c r="L53" s="4"/>
    </row>
    <row r="54" spans="12:12" ht="15.75" customHeight="1">
      <c r="L54" s="4"/>
    </row>
    <row r="55" spans="12:12" ht="15.75" customHeight="1">
      <c r="L55" s="4"/>
    </row>
    <row r="56" spans="12:12" ht="15.75" customHeight="1">
      <c r="L56" s="4"/>
    </row>
    <row r="57" spans="12:12" ht="15.75" customHeight="1">
      <c r="L57" s="4"/>
    </row>
    <row r="58" spans="12:12" ht="15.75" customHeight="1">
      <c r="L58" s="4"/>
    </row>
    <row r="59" spans="12:12" ht="15.75" customHeight="1">
      <c r="L59" s="4"/>
    </row>
    <row r="60" spans="12:12" ht="15.75" customHeight="1">
      <c r="L60" s="4"/>
    </row>
    <row r="61" spans="12:12" ht="15.75" customHeight="1">
      <c r="L61" s="4"/>
    </row>
    <row r="62" spans="12:12" ht="15.75" customHeight="1">
      <c r="L62" s="4"/>
    </row>
    <row r="63" spans="12:12" ht="15.75" customHeight="1">
      <c r="L63" s="4"/>
    </row>
    <row r="64" spans="12:12" ht="15.75" customHeight="1">
      <c r="L64" s="4"/>
    </row>
    <row r="65" spans="12:12" ht="15.75" customHeight="1">
      <c r="L65" s="4"/>
    </row>
    <row r="66" spans="12:12" ht="15.75" customHeight="1">
      <c r="L66" s="4"/>
    </row>
    <row r="67" spans="12:12" ht="15.75" customHeight="1">
      <c r="L67" s="4"/>
    </row>
    <row r="68" spans="12:12" ht="15.75" customHeight="1">
      <c r="L68" s="4"/>
    </row>
    <row r="69" spans="12:12" ht="15.75" customHeight="1">
      <c r="L69" s="4"/>
    </row>
    <row r="70" spans="12:12" ht="15.75" customHeight="1">
      <c r="L70" s="4"/>
    </row>
    <row r="71" spans="12:12" ht="15.75" customHeight="1">
      <c r="L71" s="4"/>
    </row>
    <row r="72" spans="12:12" ht="15.75" customHeight="1">
      <c r="L72" s="4"/>
    </row>
    <row r="73" spans="12:12" ht="15.75" customHeight="1">
      <c r="L73" s="4"/>
    </row>
    <row r="74" spans="12:12" ht="15.75" customHeight="1">
      <c r="L74" s="4"/>
    </row>
    <row r="75" spans="12:12" ht="15.75" customHeight="1">
      <c r="L75" s="4"/>
    </row>
    <row r="76" spans="12:12" ht="15.75" customHeight="1">
      <c r="L76" s="4"/>
    </row>
    <row r="77" spans="12:12" ht="15.75" customHeight="1">
      <c r="L77" s="4"/>
    </row>
    <row r="78" spans="12:12" ht="15.75" customHeight="1">
      <c r="L78" s="4"/>
    </row>
    <row r="79" spans="12:12" ht="15.75" customHeight="1">
      <c r="L79" s="4"/>
    </row>
    <row r="80" spans="12:12" ht="15.75" customHeight="1">
      <c r="L80" s="4"/>
    </row>
    <row r="81" spans="12:12" ht="15.75" customHeight="1">
      <c r="L81" s="4"/>
    </row>
    <row r="82" spans="12:12" ht="15.75" customHeight="1">
      <c r="L82" s="4"/>
    </row>
    <row r="83" spans="12:12" ht="15.75" customHeight="1">
      <c r="L83" s="4"/>
    </row>
    <row r="84" spans="12:12" ht="15.75" customHeight="1">
      <c r="L84" s="4"/>
    </row>
    <row r="85" spans="12:12" ht="15.75" customHeight="1">
      <c r="L85" s="4"/>
    </row>
    <row r="86" spans="12:12" ht="15.75" customHeight="1">
      <c r="L86" s="4"/>
    </row>
    <row r="87" spans="12:12" ht="15.75" customHeight="1">
      <c r="L87" s="4"/>
    </row>
    <row r="88" spans="12:12" ht="15.75" customHeight="1">
      <c r="L88" s="4"/>
    </row>
    <row r="89" spans="12:12" ht="15.75" customHeight="1">
      <c r="L89" s="4"/>
    </row>
    <row r="90" spans="12:12" ht="15.75" customHeight="1">
      <c r="L90" s="4"/>
    </row>
    <row r="91" spans="12:12" ht="15.75" customHeight="1">
      <c r="L91" s="4"/>
    </row>
    <row r="92" spans="12:12" ht="15.75" customHeight="1">
      <c r="L92" s="4"/>
    </row>
    <row r="93" spans="12:12" ht="15.75" customHeight="1">
      <c r="L93" s="4"/>
    </row>
    <row r="94" spans="12:12" ht="15.75" customHeight="1">
      <c r="L94" s="4"/>
    </row>
    <row r="95" spans="12:12" ht="15.75" customHeight="1">
      <c r="L95" s="4"/>
    </row>
    <row r="96" spans="12:12" ht="15.75" customHeight="1">
      <c r="L96" s="4"/>
    </row>
    <row r="97" spans="12:12" ht="15.75" customHeight="1">
      <c r="L97" s="4"/>
    </row>
    <row r="98" spans="12:12" ht="15.75" customHeight="1">
      <c r="L98" s="4"/>
    </row>
    <row r="99" spans="12:12" ht="15.75" customHeight="1">
      <c r="L99" s="4"/>
    </row>
    <row r="100" spans="12:12" ht="15.75" customHeight="1">
      <c r="L100" s="4"/>
    </row>
    <row r="101" spans="12:12" ht="15.75" customHeight="1"/>
    <row r="102" spans="12:12" ht="15.75" customHeight="1"/>
    <row r="103" spans="12:12" ht="15.75" customHeight="1"/>
    <row r="104" spans="12:12" ht="15.75" customHeight="1"/>
    <row r="105" spans="12:12" ht="15.75" customHeight="1"/>
    <row r="106" spans="12:12" ht="15.75" customHeight="1"/>
    <row r="107" spans="12:12" ht="15.75" customHeight="1"/>
    <row r="108" spans="12:12" ht="15.75" customHeight="1"/>
    <row r="109" spans="12:12" ht="15.75" customHeight="1"/>
    <row r="110" spans="12:12" ht="15.75" customHeight="1"/>
    <row r="111" spans="12:12" ht="15.75" customHeight="1"/>
    <row r="112" spans="12: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qref="L2 L4:L100" xr:uid="{00000000-0002-0000-0000-000000000000}">
      <formula1>"Funcionando,Em Teste,Manutenção,Descartada,Emprestada"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2.625" defaultRowHeight="15" customHeight="1"/>
  <cols>
    <col min="1" max="7" width="8.75" customWidth="1"/>
  </cols>
  <sheetData>
    <row r="1" spans="1:7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/>
  </sheetViews>
  <sheetFormatPr defaultColWidth="12.625" defaultRowHeight="15" customHeight="1"/>
  <cols>
    <col min="1" max="6" width="8.75" customWidth="1"/>
  </cols>
  <sheetData>
    <row r="1" spans="1:6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/>
  </sheetViews>
  <sheetFormatPr defaultColWidth="12.625" defaultRowHeight="15" customHeight="1"/>
  <cols>
    <col min="1" max="6" width="8.75" customWidth="1"/>
  </cols>
  <sheetData>
    <row r="1" spans="1:2">
      <c r="A1" s="3" t="s">
        <v>79</v>
      </c>
      <c r="B1" s="3" t="s">
        <v>80</v>
      </c>
    </row>
    <row r="2" spans="1:2">
      <c r="A2" s="3" t="s">
        <v>81</v>
      </c>
      <c r="B2" s="3">
        <f>COUNTA('Inventário Geral'!A:A)-1</f>
        <v>4</v>
      </c>
    </row>
    <row r="3" spans="1:2">
      <c r="A3" s="3" t="s">
        <v>82</v>
      </c>
      <c r="B3" s="3">
        <f>COUNTIF('Inventário Geral'!L:L,"Funcionando")</f>
        <v>0</v>
      </c>
    </row>
    <row r="4" spans="1:2">
      <c r="A4" s="3" t="s">
        <v>83</v>
      </c>
      <c r="B4" s="3">
        <f>COUNTIF('Inventário Geral'!L:L,"Manutenção")</f>
        <v>0</v>
      </c>
    </row>
    <row r="5" spans="1:2">
      <c r="A5" s="3" t="s">
        <v>84</v>
      </c>
      <c r="B5" s="3">
        <f>COUNTIF('Inventário Geral'!L:L,"Emprestada")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097CA8758C204F82E7B46932670EDD" ma:contentTypeVersion="3" ma:contentTypeDescription="Create a new document." ma:contentTypeScope="" ma:versionID="fd11d474f5e7422280a461368f288062">
  <xsd:schema xmlns:xsd="http://www.w3.org/2001/XMLSchema" xmlns:xs="http://www.w3.org/2001/XMLSchema" xmlns:p="http://schemas.microsoft.com/office/2006/metadata/properties" xmlns:ns2="9a989b4c-16d2-4ae9-8ae7-9ba2ab034d84" targetNamespace="http://schemas.microsoft.com/office/2006/metadata/properties" ma:root="true" ma:fieldsID="e9dede29ae360c2a38fe5ff06e1bfdce" ns2:_="">
    <xsd:import namespace="9a989b4c-16d2-4ae9-8ae7-9ba2ab034d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89b4c-16d2-4ae9-8ae7-9ba2ab034d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1D260C-025E-4762-B4C0-866457EDA6E8}"/>
</file>

<file path=customXml/itemProps2.xml><?xml version="1.0" encoding="utf-8"?>
<ds:datastoreItem xmlns:ds="http://schemas.openxmlformats.org/officeDocument/2006/customXml" ds:itemID="{592EB977-4CD7-4E24-81F4-35EC6C3149C8}"/>
</file>

<file path=customXml/itemProps3.xml><?xml version="1.0" encoding="utf-8"?>
<ds:datastoreItem xmlns:ds="http://schemas.openxmlformats.org/officeDocument/2006/customXml" ds:itemID="{293AF2DE-03BC-42A1-A903-3B16CACDC7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ANÔNIMO</dc:creator>
  <cp:keywords/>
  <dc:description/>
  <cp:lastModifiedBy>ANÔNIMO</cp:lastModifiedBy>
  <cp:revision/>
  <dcterms:created xsi:type="dcterms:W3CDTF">2026-07-31T17:15:12Z</dcterms:created>
  <dcterms:modified xsi:type="dcterms:W3CDTF">2026-07-31T17:15:12Z</dcterms:modified>
  <cp:category/>
  <cp:contentStatus/>
</cp:coreProperties>
</file>